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hp\Desktop\"/>
    </mc:Choice>
  </mc:AlternateContent>
  <xr:revisionPtr revIDLastSave="0" documentId="8_{F9F47F81-BC53-45D2-A2D6-C5753CB352E7}" xr6:coauthVersionLast="45" xr6:coauthVersionMax="45" xr10:uidLastSave="{00000000-0000-0000-0000-000000000000}"/>
  <bookViews>
    <workbookView xWindow="-120" yWindow="-120" windowWidth="19440" windowHeight="11040" activeTab="3" xr2:uid="{A5705F5F-E082-472C-A88F-935A6BC2F5E8}"/>
  </bookViews>
  <sheets>
    <sheet name="HOME" sheetId="1" r:id="rId1"/>
    <sheet name="Purchase" sheetId="2" r:id="rId2"/>
    <sheet name="Sale" sheetId="3" r:id="rId3"/>
    <sheet name="Stock" sheetId="4" r:id="rId4"/>
  </sheets>
  <definedNames>
    <definedName name="_xlnm._FilterDatabase" localSheetId="1" hidden="1">Purchase!$D$3:$D$10</definedName>
    <definedName name="_xlnm.Criteria" localSheetId="3">Stock!$G$3:$G$4</definedName>
    <definedName name="_xlnm.Extract" localSheetId="3">Stock!$B$3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8" i="1" l="1"/>
  <c r="D3" i="1"/>
  <c r="D4" i="4"/>
  <c r="D5" i="4"/>
  <c r="D6" i="4"/>
  <c r="D7" i="4"/>
  <c r="D8" i="4"/>
  <c r="D9" i="4"/>
  <c r="D10" i="4"/>
  <c r="D11" i="4"/>
  <c r="D12" i="4"/>
  <c r="C4" i="4"/>
  <c r="C5" i="4"/>
  <c r="C6" i="4"/>
  <c r="C7" i="4"/>
  <c r="C8" i="4"/>
  <c r="C9" i="4"/>
  <c r="E9" i="4" s="1"/>
  <c r="C10" i="4"/>
  <c r="C11" i="4"/>
  <c r="C12" i="4"/>
  <c r="G4" i="4"/>
  <c r="E5" i="4" l="1"/>
  <c r="E10" i="4"/>
  <c r="E6" i="4"/>
  <c r="E12" i="4"/>
  <c r="E8" i="4"/>
  <c r="E4" i="4"/>
  <c r="E11" i="4"/>
  <c r="E7" i="4"/>
</calcChain>
</file>

<file path=xl/sharedStrings.xml><?xml version="1.0" encoding="utf-8"?>
<sst xmlns="http://schemas.openxmlformats.org/spreadsheetml/2006/main" count="33" uniqueCount="23">
  <si>
    <t>Bill No</t>
  </si>
  <si>
    <t>Date</t>
  </si>
  <si>
    <t>Item</t>
  </si>
  <si>
    <t>Qty</t>
  </si>
  <si>
    <t>Rate</t>
  </si>
  <si>
    <t xml:space="preserve">Date : </t>
  </si>
  <si>
    <t xml:space="preserve">Bill No : </t>
  </si>
  <si>
    <t xml:space="preserve">Item : </t>
  </si>
  <si>
    <t xml:space="preserve">Qty : </t>
  </si>
  <si>
    <t xml:space="preserve">Rate : </t>
  </si>
  <si>
    <t xml:space="preserve">Entry Type : </t>
  </si>
  <si>
    <t>Sale</t>
  </si>
  <si>
    <t>P Qty</t>
  </si>
  <si>
    <t>S Qty</t>
  </si>
  <si>
    <t>Stock</t>
  </si>
  <si>
    <t>mouse</t>
  </si>
  <si>
    <t xml:space="preserve">Last Billed : </t>
  </si>
  <si>
    <t>keyboard</t>
  </si>
  <si>
    <t>Mouse</t>
  </si>
  <si>
    <t>monitor</t>
  </si>
  <si>
    <t>Purchase Entries</t>
  </si>
  <si>
    <t xml:space="preserve">    Sales Entries</t>
  </si>
  <si>
    <t xml:space="preserve">       Stock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</si>
</sst>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24"/>
      <color theme="1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2"/>
      <name val="Calibri"/>
      <family val="2"/>
      <scheme val="minor"/>
    </font>
    <font>
      <sz val="24"/>
      <color rgb="FFC00000"/>
      <name val="Book Antiqua"/>
      <family val="1"/>
    </font>
    <font>
      <b/>
      <sz val="36"/>
      <color rgb="FFFFC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C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-0.49998474074526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/>
      <bottom/>
      <diagonal/>
    </border>
    <border>
      <left/>
      <right style="thin">
        <color theme="4" tint="0.39997558519241921"/>
      </right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right"/>
    </xf>
    <xf numFmtId="0" fontId="0" fillId="0" borderId="1" xfId="0" applyBorder="1" applyAlignment="1">
      <alignment horizontal="right" indent="1"/>
    </xf>
    <xf numFmtId="0" fontId="0" fillId="0" borderId="2" xfId="0" applyBorder="1" applyAlignment="1">
      <alignment horizontal="right"/>
    </xf>
    <xf numFmtId="0" fontId="0" fillId="0" borderId="3" xfId="0" applyBorder="1" applyAlignment="1">
      <alignment horizontal="right"/>
    </xf>
    <xf numFmtId="0" fontId="0" fillId="0" borderId="4" xfId="0" applyBorder="1" applyAlignment="1">
      <alignment horizontal="right"/>
    </xf>
    <xf numFmtId="0" fontId="0" fillId="0" borderId="0" xfId="0" applyBorder="1"/>
    <xf numFmtId="0" fontId="0" fillId="0" borderId="0" xfId="0" applyBorder="1" applyAlignment="1">
      <alignment horizontal="right"/>
    </xf>
    <xf numFmtId="14" fontId="0" fillId="0" borderId="1" xfId="0" applyNumberFormat="1" applyBorder="1" applyAlignment="1">
      <alignment horizontal="right"/>
    </xf>
    <xf numFmtId="0" fontId="1" fillId="4" borderId="5" xfId="0" applyFont="1" applyFill="1" applyBorder="1"/>
    <xf numFmtId="0" fontId="1" fillId="4" borderId="0" xfId="0" applyFont="1" applyFill="1" applyBorder="1"/>
    <xf numFmtId="0" fontId="1" fillId="4" borderId="6" xfId="0" applyFont="1" applyFill="1" applyBorder="1"/>
    <xf numFmtId="0" fontId="0" fillId="3" borderId="0" xfId="0" applyFill="1" applyBorder="1"/>
    <xf numFmtId="0" fontId="0" fillId="5" borderId="0" xfId="0" applyFill="1" applyAlignment="1">
      <alignment horizontal="right"/>
    </xf>
    <xf numFmtId="0" fontId="0" fillId="5" borderId="0" xfId="0" applyFill="1"/>
    <xf numFmtId="0" fontId="0" fillId="6" borderId="0" xfId="0" applyFill="1" applyBorder="1"/>
    <xf numFmtId="0" fontId="0" fillId="7" borderId="0" xfId="0" applyFill="1" applyBorder="1" applyAlignment="1">
      <alignment horizontal="right"/>
    </xf>
    <xf numFmtId="0" fontId="0" fillId="2" borderId="0" xfId="0" applyFill="1"/>
    <xf numFmtId="0" fontId="1" fillId="2" borderId="0" xfId="0" applyFont="1" applyFill="1" applyBorder="1"/>
    <xf numFmtId="0" fontId="4" fillId="0" borderId="0" xfId="0" applyFont="1" applyAlignment="1">
      <alignment horizontal="left" indent="1"/>
    </xf>
    <xf numFmtId="14" fontId="0" fillId="0" borderId="1" xfId="0" applyNumberFormat="1" applyBorder="1" applyAlignment="1">
      <alignment horizontal="right" indent="1"/>
    </xf>
    <xf numFmtId="0" fontId="2" fillId="8" borderId="0" xfId="0" applyFont="1" applyFill="1" applyBorder="1" applyAlignment="1">
      <alignment horizontal="center"/>
    </xf>
    <xf numFmtId="0" fontId="5" fillId="8" borderId="0" xfId="0" applyFont="1" applyFill="1" applyAlignment="1">
      <alignment horizontal="left" vertical="center" indent="2"/>
    </xf>
    <xf numFmtId="0" fontId="0" fillId="8" borderId="0" xfId="0" applyFill="1" applyAlignment="1">
      <alignment horizontal="center"/>
    </xf>
  </cellXfs>
  <cellStyles count="1">
    <cellStyle name="Normal" xfId="0" builtinId="0"/>
  </cellStyles>
  <dxfs count="20"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border outline="0">
        <top style="thin">
          <color theme="4" tint="0.39997558519241921"/>
        </top>
      </border>
    </dxf>
    <dxf>
      <fill>
        <patternFill patternType="solid">
          <fgColor indexed="64"/>
          <bgColor theme="0" tint="-4.9989318521683403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4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4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border outline="0">
        <top style="thin">
          <color theme="4" tint="0.39997558519241921"/>
        </top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Stock!A1"/><Relationship Id="rId2" Type="http://schemas.openxmlformats.org/officeDocument/2006/relationships/hyperlink" Target="#Sale!A1"/><Relationship Id="rId1" Type="http://schemas.openxmlformats.org/officeDocument/2006/relationships/hyperlink" Target="#Purchase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Sale!A1"/><Relationship Id="rId2" Type="http://schemas.openxmlformats.org/officeDocument/2006/relationships/image" Target="../media/image1.png"/><Relationship Id="rId1" Type="http://schemas.openxmlformats.org/officeDocument/2006/relationships/hyperlink" Target="#HOME!A1"/><Relationship Id="rId4" Type="http://schemas.openxmlformats.org/officeDocument/2006/relationships/hyperlink" Target="#Stock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Purchase!A1"/><Relationship Id="rId2" Type="http://schemas.openxmlformats.org/officeDocument/2006/relationships/image" Target="../media/image1.png"/><Relationship Id="rId1" Type="http://schemas.openxmlformats.org/officeDocument/2006/relationships/hyperlink" Target="#HOME!A1"/><Relationship Id="rId4" Type="http://schemas.openxmlformats.org/officeDocument/2006/relationships/hyperlink" Target="#Stock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HOME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324971</xdr:rowOff>
    </xdr:from>
    <xdr:to>
      <xdr:col>3</xdr:col>
      <xdr:colOff>358589</xdr:colOff>
      <xdr:row>10</xdr:row>
      <xdr:rowOff>369793</xdr:rowOff>
    </xdr:to>
    <xdr:sp macro="[0]!mmmmmm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03D727D-0054-449F-81BC-2386B6278992}"/>
            </a:ext>
          </a:extLst>
        </xdr:cNvPr>
        <xdr:cNvSpPr/>
      </xdr:nvSpPr>
      <xdr:spPr>
        <a:xfrm>
          <a:off x="1367118" y="3978089"/>
          <a:ext cx="2487706" cy="44823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400" b="1"/>
            <a:t>Purchase Entry</a:t>
          </a:r>
        </a:p>
      </xdr:txBody>
    </xdr:sp>
    <xdr:clientData/>
  </xdr:twoCellAnchor>
  <xdr:twoCellAnchor>
    <xdr:from>
      <xdr:col>3</xdr:col>
      <xdr:colOff>560293</xdr:colOff>
      <xdr:row>9</xdr:row>
      <xdr:rowOff>324971</xdr:rowOff>
    </xdr:from>
    <xdr:to>
      <xdr:col>3</xdr:col>
      <xdr:colOff>2823883</xdr:colOff>
      <xdr:row>10</xdr:row>
      <xdr:rowOff>381001</xdr:rowOff>
    </xdr:to>
    <xdr:sp macro="[0]!sal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C7E3E738-386A-43B1-BBBB-9021754E67C8}"/>
            </a:ext>
          </a:extLst>
        </xdr:cNvPr>
        <xdr:cNvSpPr/>
      </xdr:nvSpPr>
      <xdr:spPr>
        <a:xfrm>
          <a:off x="4056528" y="3978089"/>
          <a:ext cx="2263590" cy="45944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400" b="1"/>
            <a:t>Sale Entry</a:t>
          </a:r>
        </a:p>
      </xdr:txBody>
    </xdr:sp>
    <xdr:clientData/>
  </xdr:twoCellAnchor>
  <xdr:twoCellAnchor>
    <xdr:from>
      <xdr:col>4</xdr:col>
      <xdr:colOff>1221440</xdr:colOff>
      <xdr:row>0</xdr:row>
      <xdr:rowOff>347382</xdr:rowOff>
    </xdr:from>
    <xdr:to>
      <xdr:col>6</xdr:col>
      <xdr:colOff>750795</xdr:colOff>
      <xdr:row>2</xdr:row>
      <xdr:rowOff>-1</xdr:rowOff>
    </xdr:to>
    <xdr:sp macro="[0]!r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DDDE46E6-CD4C-4C19-8FBF-6A987F5C95B8}"/>
            </a:ext>
          </a:extLst>
        </xdr:cNvPr>
        <xdr:cNvSpPr/>
      </xdr:nvSpPr>
      <xdr:spPr>
        <a:xfrm>
          <a:off x="7552764" y="347382"/>
          <a:ext cx="2263590" cy="459441"/>
        </a:xfrm>
        <a:prstGeom prst="roundRect">
          <a:avLst/>
        </a:prstGeom>
        <a:solidFill>
          <a:srgbClr val="00B0F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400" b="1"/>
            <a:t>Refresh Stock</a:t>
          </a:r>
        </a:p>
      </xdr:txBody>
    </xdr:sp>
    <xdr:clientData/>
  </xdr:twoCellAnchor>
  <xdr:twoCellAnchor>
    <xdr:from>
      <xdr:col>6</xdr:col>
      <xdr:colOff>963705</xdr:colOff>
      <xdr:row>0</xdr:row>
      <xdr:rowOff>336177</xdr:rowOff>
    </xdr:from>
    <xdr:to>
      <xdr:col>8</xdr:col>
      <xdr:colOff>493060</xdr:colOff>
      <xdr:row>1</xdr:row>
      <xdr:rowOff>392206</xdr:rowOff>
    </xdr:to>
    <xdr:sp macro="[0]!re" textlink="">
      <xdr:nvSpPr>
        <xdr:cNvPr id="5" name="Rectangle: Rounded Corner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B7D6A32-529E-4486-9BA4-C36C7A78499B}"/>
            </a:ext>
          </a:extLst>
        </xdr:cNvPr>
        <xdr:cNvSpPr/>
      </xdr:nvSpPr>
      <xdr:spPr>
        <a:xfrm>
          <a:off x="10029264" y="336177"/>
          <a:ext cx="2263590" cy="459441"/>
        </a:xfrm>
        <a:prstGeom prst="roundRect">
          <a:avLst/>
        </a:prstGeom>
        <a:solidFill>
          <a:srgbClr val="00B0F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400" b="1"/>
            <a:t>Purchase</a:t>
          </a:r>
        </a:p>
      </xdr:txBody>
    </xdr:sp>
    <xdr:clientData/>
  </xdr:twoCellAnchor>
  <xdr:twoCellAnchor>
    <xdr:from>
      <xdr:col>4</xdr:col>
      <xdr:colOff>1210234</xdr:colOff>
      <xdr:row>2</xdr:row>
      <xdr:rowOff>134469</xdr:rowOff>
    </xdr:from>
    <xdr:to>
      <xdr:col>6</xdr:col>
      <xdr:colOff>739589</xdr:colOff>
      <xdr:row>3</xdr:row>
      <xdr:rowOff>190499</xdr:rowOff>
    </xdr:to>
    <xdr:sp macro="[0]!re" textlink="">
      <xdr:nvSpPr>
        <xdr:cNvPr id="6" name="Rectangle: Rounded Corners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17CBF1A-C8AA-4545-A8C4-CAEC0D787893}"/>
            </a:ext>
          </a:extLst>
        </xdr:cNvPr>
        <xdr:cNvSpPr/>
      </xdr:nvSpPr>
      <xdr:spPr>
        <a:xfrm>
          <a:off x="7541558" y="941293"/>
          <a:ext cx="2263590" cy="459441"/>
        </a:xfrm>
        <a:prstGeom prst="roundRect">
          <a:avLst/>
        </a:prstGeom>
        <a:solidFill>
          <a:srgbClr val="00B0F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400" b="1"/>
            <a:t>Sale</a:t>
          </a:r>
        </a:p>
      </xdr:txBody>
    </xdr:sp>
    <xdr:clientData/>
  </xdr:twoCellAnchor>
  <xdr:twoCellAnchor>
    <xdr:from>
      <xdr:col>6</xdr:col>
      <xdr:colOff>974911</xdr:colOff>
      <xdr:row>2</xdr:row>
      <xdr:rowOff>112058</xdr:rowOff>
    </xdr:from>
    <xdr:to>
      <xdr:col>8</xdr:col>
      <xdr:colOff>504266</xdr:colOff>
      <xdr:row>3</xdr:row>
      <xdr:rowOff>168088</xdr:rowOff>
    </xdr:to>
    <xdr:sp macro="[0]!re" textlink="">
      <xdr:nvSpPr>
        <xdr:cNvPr id="7" name="Rectangle: Rounded Corners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C02CA7D-D624-4A14-8023-1C62FB0E10D2}"/>
            </a:ext>
          </a:extLst>
        </xdr:cNvPr>
        <xdr:cNvSpPr/>
      </xdr:nvSpPr>
      <xdr:spPr>
        <a:xfrm>
          <a:off x="10040470" y="918882"/>
          <a:ext cx="2263590" cy="459441"/>
        </a:xfrm>
        <a:prstGeom prst="roundRect">
          <a:avLst/>
        </a:prstGeom>
        <a:solidFill>
          <a:srgbClr val="00B0F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400" b="1"/>
            <a:t>Stock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38100</xdr:colOff>
      <xdr:row>0</xdr:row>
      <xdr:rowOff>66675</xdr:rowOff>
    </xdr:from>
    <xdr:to>
      <xdr:col>1</xdr:col>
      <xdr:colOff>714375</xdr:colOff>
      <xdr:row>1</xdr:row>
      <xdr:rowOff>342900</xdr:rowOff>
    </xdr:to>
    <xdr:pic>
      <xdr:nvPicPr>
        <xdr:cNvPr id="2" name="Picture 1" descr="Image result for home ic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25B8D1E-AA87-4B79-B09B-4F741EFA2F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0525" y="66675"/>
          <a:ext cx="676275" cy="676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187325</xdr:colOff>
      <xdr:row>0</xdr:row>
      <xdr:rowOff>132041</xdr:rowOff>
    </xdr:from>
    <xdr:to>
      <xdr:col>7</xdr:col>
      <xdr:colOff>1083548</xdr:colOff>
      <xdr:row>1</xdr:row>
      <xdr:rowOff>193548</xdr:rowOff>
    </xdr:to>
    <xdr:sp macro="[0]!re" textlink="">
      <xdr:nvSpPr>
        <xdr:cNvPr id="4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EAE2EEB-3F03-4A91-AA1A-6FCFC3EC788D}"/>
            </a:ext>
          </a:extLst>
        </xdr:cNvPr>
        <xdr:cNvSpPr/>
      </xdr:nvSpPr>
      <xdr:spPr>
        <a:xfrm>
          <a:off x="7891992" y="132041"/>
          <a:ext cx="2272056" cy="463674"/>
        </a:xfrm>
        <a:prstGeom prst="roundRect">
          <a:avLst/>
        </a:prstGeom>
        <a:solidFill>
          <a:srgbClr val="00B0F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400" b="1"/>
            <a:t>Sale</a:t>
          </a:r>
        </a:p>
      </xdr:txBody>
    </xdr:sp>
    <xdr:clientData/>
  </xdr:twoCellAnchor>
  <xdr:twoCellAnchor>
    <xdr:from>
      <xdr:col>6</xdr:col>
      <xdr:colOff>181162</xdr:colOff>
      <xdr:row>1</xdr:row>
      <xdr:rowOff>368921</xdr:rowOff>
    </xdr:from>
    <xdr:to>
      <xdr:col>7</xdr:col>
      <xdr:colOff>1077385</xdr:colOff>
      <xdr:row>3</xdr:row>
      <xdr:rowOff>26146</xdr:rowOff>
    </xdr:to>
    <xdr:sp macro="[0]!re" textlink="">
      <xdr:nvSpPr>
        <xdr:cNvPr id="5" name="Rectangle: Rounded Corner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804EFD1-17A5-4CCF-9A59-B662A8637D91}"/>
            </a:ext>
          </a:extLst>
        </xdr:cNvPr>
        <xdr:cNvSpPr/>
      </xdr:nvSpPr>
      <xdr:spPr>
        <a:xfrm>
          <a:off x="7885829" y="771088"/>
          <a:ext cx="2272056" cy="461558"/>
        </a:xfrm>
        <a:prstGeom prst="roundRect">
          <a:avLst/>
        </a:prstGeom>
        <a:solidFill>
          <a:srgbClr val="00B0F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400" b="1"/>
            <a:t>Stock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38100</xdr:colOff>
      <xdr:row>0</xdr:row>
      <xdr:rowOff>85725</xdr:rowOff>
    </xdr:from>
    <xdr:to>
      <xdr:col>1</xdr:col>
      <xdr:colOff>714375</xdr:colOff>
      <xdr:row>1</xdr:row>
      <xdr:rowOff>361950</xdr:rowOff>
    </xdr:to>
    <xdr:pic>
      <xdr:nvPicPr>
        <xdr:cNvPr id="3" name="Picture 2" descr="Image result for home ic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A95AC79-BD34-4CE8-BA79-CB2373E2B6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0525" y="85725"/>
          <a:ext cx="676275" cy="676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165100</xdr:colOff>
      <xdr:row>0</xdr:row>
      <xdr:rowOff>122766</xdr:rowOff>
    </xdr:from>
    <xdr:to>
      <xdr:col>7</xdr:col>
      <xdr:colOff>1061323</xdr:colOff>
      <xdr:row>1</xdr:row>
      <xdr:rowOff>182157</xdr:rowOff>
    </xdr:to>
    <xdr:sp macro="[0]!re" textlink="">
      <xdr:nvSpPr>
        <xdr:cNvPr id="4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B27F8F39-868D-4D7D-B880-F0234D6D1B22}"/>
            </a:ext>
          </a:extLst>
        </xdr:cNvPr>
        <xdr:cNvSpPr/>
      </xdr:nvSpPr>
      <xdr:spPr>
        <a:xfrm>
          <a:off x="7869767" y="122766"/>
          <a:ext cx="2272056" cy="461558"/>
        </a:xfrm>
        <a:prstGeom prst="roundRect">
          <a:avLst/>
        </a:prstGeom>
        <a:solidFill>
          <a:srgbClr val="00B0F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400" b="1"/>
            <a:t>Purchase</a:t>
          </a:r>
        </a:p>
      </xdr:txBody>
    </xdr:sp>
    <xdr:clientData/>
  </xdr:twoCellAnchor>
  <xdr:twoCellAnchor>
    <xdr:from>
      <xdr:col>6</xdr:col>
      <xdr:colOff>176306</xdr:colOff>
      <xdr:row>1</xdr:row>
      <xdr:rowOff>305421</xdr:rowOff>
    </xdr:from>
    <xdr:to>
      <xdr:col>7</xdr:col>
      <xdr:colOff>1072529</xdr:colOff>
      <xdr:row>2</xdr:row>
      <xdr:rowOff>364813</xdr:rowOff>
    </xdr:to>
    <xdr:sp macro="[0]!re" textlink="">
      <xdr:nvSpPr>
        <xdr:cNvPr id="5" name="Rectangle: Rounded Corner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3893163-0D46-481C-A02E-B1D55B7AC439}"/>
            </a:ext>
          </a:extLst>
        </xdr:cNvPr>
        <xdr:cNvSpPr/>
      </xdr:nvSpPr>
      <xdr:spPr>
        <a:xfrm>
          <a:off x="7880973" y="707588"/>
          <a:ext cx="2272056" cy="461558"/>
        </a:xfrm>
        <a:prstGeom prst="roundRect">
          <a:avLst/>
        </a:prstGeom>
        <a:solidFill>
          <a:srgbClr val="00B0F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400" b="1"/>
            <a:t>Stock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128246</xdr:colOff>
      <xdr:row>0</xdr:row>
      <xdr:rowOff>138206</xdr:rowOff>
    </xdr:from>
    <xdr:to>
      <xdr:col>7</xdr:col>
      <xdr:colOff>1033433</xdr:colOff>
      <xdr:row>1</xdr:row>
      <xdr:rowOff>194235</xdr:rowOff>
    </xdr:to>
    <xdr:sp macro="[0]!r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9C70DB3-0D18-4C0B-9209-D8FBE32091E2}"/>
            </a:ext>
          </a:extLst>
        </xdr:cNvPr>
        <xdr:cNvSpPr/>
      </xdr:nvSpPr>
      <xdr:spPr>
        <a:xfrm>
          <a:off x="5991413" y="138206"/>
          <a:ext cx="2281020" cy="45819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400" b="1"/>
            <a:t>Refresh Stock</a:t>
          </a:r>
        </a:p>
      </xdr:txBody>
    </xdr:sp>
    <xdr:clientData/>
  </xdr:twoCellAnchor>
  <xdr:twoCellAnchor editAs="oneCell">
    <xdr:from>
      <xdr:col>1</xdr:col>
      <xdr:colOff>0</xdr:colOff>
      <xdr:row>0</xdr:row>
      <xdr:rowOff>33618</xdr:rowOff>
    </xdr:from>
    <xdr:to>
      <xdr:col>1</xdr:col>
      <xdr:colOff>676275</xdr:colOff>
      <xdr:row>1</xdr:row>
      <xdr:rowOff>306481</xdr:rowOff>
    </xdr:to>
    <xdr:pic>
      <xdr:nvPicPr>
        <xdr:cNvPr id="3" name="Picture 2" descr="Image result for home ic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FC31D02-34F0-4428-8DFB-0E00CCD8B5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7118" y="448236"/>
          <a:ext cx="676275" cy="676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ECD7981-D45B-4E80-860E-351A858B65A9}" name="Table3" displayName="Table3" ref="B3:F10" totalsRowShown="0" headerRowDxfId="18" dataDxfId="12" tableBorderDxfId="19">
  <tableColumns count="5">
    <tableColumn id="1" xr3:uid="{65C48843-49AC-4AC2-B278-149CDBAB2F98}" name="Bill No" dataDxfId="17"/>
    <tableColumn id="2" xr3:uid="{AD36EA01-AB61-4EC4-926C-C217BA9D8FF8}" name="Date" dataDxfId="16"/>
    <tableColumn id="3" xr3:uid="{725C5966-D93C-482B-A153-991543C48677}" name="Item" dataDxfId="15"/>
    <tableColumn id="4" xr3:uid="{9A669DFD-7A4B-4F92-9FB3-ED867CD90D65}" name="Qty" dataDxfId="14"/>
    <tableColumn id="5" xr3:uid="{8CB24125-01E4-4250-91F8-B6A89B7A0FB8}" name="Rate" dataDxfId="13"/>
  </tableColumns>
  <tableStyleInfo name="TableStyleMedium2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FE06263-3931-493D-8CA0-E2AB591D38B7}" name="Table38" displayName="Table38" ref="B3:F5" totalsRowShown="0" headerRowDxfId="11" dataDxfId="10" tableBorderDxfId="9">
  <autoFilter ref="B3:F5" xr:uid="{85EBCC3A-26C5-4F55-8066-0FA714BB5463}"/>
  <tableColumns count="5">
    <tableColumn id="1" xr3:uid="{BFF0C4B8-6E50-41B4-9A33-88D2FE759DA3}" name="Bill No" dataDxfId="8"/>
    <tableColumn id="2" xr3:uid="{4DCCACD6-6F03-46F7-938B-B44A16E6BCB2}" name="Date" dataDxfId="7"/>
    <tableColumn id="3" xr3:uid="{CE889657-F7CC-41AE-A947-54D181309A50}" name="Item" dataDxfId="6"/>
    <tableColumn id="4" xr3:uid="{38D287E7-0DB6-4A40-9C5D-6E4DF829C890}" name="Qty" dataDxfId="5"/>
    <tableColumn id="5" xr3:uid="{2EB00492-FEF4-484A-82F3-F17D2A400875}" name="Rate" dataDxfId="4"/>
  </tableColumns>
  <tableStyleInfo name="TableStyleMedium2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A52474D-FE3B-4FB5-8BD4-9953BA2935FC}" name="Table5" displayName="Table5" ref="B3:E12" totalsRowShown="0">
  <tableColumns count="4">
    <tableColumn id="1" xr3:uid="{F9653DE6-ADB6-4C43-BF72-D972CE3D05FE}" name="Item" dataDxfId="3"/>
    <tableColumn id="2" xr3:uid="{DEF77F1E-CCCE-4927-9E57-C33C18D68604}" name="P Qty" dataDxfId="2">
      <calculatedColumnFormula>SUMIF(Table3[[#All],[Item]],Table5[[#This Row],[Item]],Table3[[#All],[Qty]])</calculatedColumnFormula>
    </tableColumn>
    <tableColumn id="3" xr3:uid="{0A43D50F-2F44-4B99-8446-8B32B2810530}" name="S Qty" dataDxfId="1">
      <calculatedColumnFormula>SUMIF(Table38[[#All],[Item]],Table5[[#This Row],[Item]],Table38[[#All],[Qty]])</calculatedColumnFormula>
    </tableColumn>
    <tableColumn id="4" xr3:uid="{1397BAEC-0BCA-427F-9320-6C3C034DC1B2}" name="Stock" dataDxfId="0">
      <calculatedColumnFormula>Table5[[#This Row],[P Qty]]-Table5[[#This Row],[S Qty]]</calculatedColumnFormula>
    </tableColumn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3E9B6F-61FD-4001-B1B5-B496CD0F1FBE}">
  <dimension ref="B2:E9"/>
  <sheetViews>
    <sheetView showGridLines="0" zoomScale="85" zoomScaleNormal="85" workbookViewId="0"/>
  </sheetViews>
  <sheetFormatPr defaultRowHeight="31.5" x14ac:dyDescent="0.5"/>
  <cols>
    <col min="2" max="2" width="11.0625" customWidth="1"/>
    <col min="3" max="3" width="2.9375" style="7" customWidth="1"/>
    <col min="4" max="4" width="18.625" customWidth="1"/>
  </cols>
  <sheetData>
    <row r="2" spans="2:5" x14ac:dyDescent="0.5">
      <c r="B2" s="17" t="s">
        <v>10</v>
      </c>
      <c r="C2" s="13"/>
      <c r="D2" s="16" t="s">
        <v>11</v>
      </c>
    </row>
    <row r="3" spans="2:5" x14ac:dyDescent="0.5">
      <c r="B3" s="14" t="s">
        <v>16</v>
      </c>
      <c r="C3" s="13"/>
      <c r="D3" s="15">
        <f>IF(D2="purchase",MAX(Table3[[#All],[Bill No]]),MAX(Table38[[#All],[Bill No]]))</f>
        <v>0</v>
      </c>
    </row>
    <row r="4" spans="2:5" ht="32.25" thickBot="1" x14ac:dyDescent="0.55000000000000004"/>
    <row r="5" spans="2:5" x14ac:dyDescent="0.5">
      <c r="B5" s="4" t="s">
        <v>6</v>
      </c>
      <c r="C5" s="8"/>
      <c r="D5" s="3"/>
    </row>
    <row r="6" spans="2:5" x14ac:dyDescent="0.5">
      <c r="B6" s="5" t="s">
        <v>5</v>
      </c>
      <c r="C6" s="8"/>
      <c r="D6" s="21"/>
    </row>
    <row r="7" spans="2:5" x14ac:dyDescent="0.5">
      <c r="B7" s="5" t="s">
        <v>7</v>
      </c>
      <c r="C7" s="8"/>
      <c r="D7" s="3"/>
    </row>
    <row r="8" spans="2:5" x14ac:dyDescent="0.5">
      <c r="B8" s="5" t="s">
        <v>8</v>
      </c>
      <c r="C8" s="8"/>
      <c r="D8" s="3"/>
      <c r="E8" s="20" t="str">
        <f>IF(D2="sale",IF(IFERROR(VLOOKUP(D7,Table5[#All],4,0),"")&lt;D8,"Stock Not Available",""),"")</f>
        <v/>
      </c>
    </row>
    <row r="9" spans="2:5" ht="32.25" thickBot="1" x14ac:dyDescent="0.55000000000000004">
      <c r="B9" s="6" t="s">
        <v>9</v>
      </c>
      <c r="C9" s="8"/>
      <c r="D9" s="3"/>
    </row>
  </sheetData>
  <dataValidations count="1">
    <dataValidation type="list" allowBlank="1" showInputMessage="1" showErrorMessage="1" sqref="D2" xr:uid="{632FD81A-E14B-4813-9E15-B45BBF1D8F28}">
      <formula1>"Sale,Purchase"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71F667-B11F-48D7-AFA9-625D396AD6C2}">
  <dimension ref="B1:F10"/>
  <sheetViews>
    <sheetView showGridLines="0" zoomScale="90" zoomScaleNormal="90" workbookViewId="0">
      <selection activeCell="B3" sqref="B3"/>
    </sheetView>
  </sheetViews>
  <sheetFormatPr defaultRowHeight="31.5" x14ac:dyDescent="0.5"/>
  <cols>
    <col min="1" max="1" width="2.375" customWidth="1"/>
    <col min="3" max="3" width="12.0625" customWidth="1"/>
  </cols>
  <sheetData>
    <row r="1" spans="2:6" x14ac:dyDescent="0.5">
      <c r="B1" s="24"/>
      <c r="C1" s="23" t="s">
        <v>20</v>
      </c>
      <c r="D1" s="23"/>
      <c r="E1" s="23"/>
      <c r="F1" s="23"/>
    </row>
    <row r="2" spans="2:6" x14ac:dyDescent="0.5">
      <c r="B2" s="24"/>
      <c r="C2" s="23"/>
      <c r="D2" s="23"/>
      <c r="E2" s="23"/>
      <c r="F2" s="23"/>
    </row>
    <row r="3" spans="2:6" x14ac:dyDescent="0.5">
      <c r="B3" s="10" t="s">
        <v>0</v>
      </c>
      <c r="C3" s="11" t="s">
        <v>1</v>
      </c>
      <c r="D3" s="11" t="s">
        <v>2</v>
      </c>
      <c r="E3" s="11" t="s">
        <v>3</v>
      </c>
      <c r="F3" s="12" t="s">
        <v>4</v>
      </c>
    </row>
    <row r="4" spans="2:6" x14ac:dyDescent="0.5">
      <c r="B4" s="19"/>
      <c r="C4" s="19"/>
      <c r="D4" s="19"/>
      <c r="E4" s="19"/>
      <c r="F4" s="19"/>
    </row>
    <row r="5" spans="2:6" x14ac:dyDescent="0.5">
      <c r="B5" s="2">
        <v>104</v>
      </c>
      <c r="C5" s="9">
        <v>43831</v>
      </c>
      <c r="D5" s="2" t="s">
        <v>19</v>
      </c>
      <c r="E5" s="2">
        <v>20</v>
      </c>
      <c r="F5" s="2">
        <v>1200</v>
      </c>
    </row>
    <row r="6" spans="2:6" x14ac:dyDescent="0.5">
      <c r="B6" s="2">
        <v>103</v>
      </c>
      <c r="C6" s="9">
        <v>44228</v>
      </c>
      <c r="D6" s="2" t="s">
        <v>15</v>
      </c>
      <c r="E6" s="2">
        <v>50</v>
      </c>
      <c r="F6" s="2">
        <v>210</v>
      </c>
    </row>
    <row r="7" spans="2:6" x14ac:dyDescent="0.5">
      <c r="B7" s="2">
        <v>101</v>
      </c>
      <c r="C7" s="9">
        <v>44197</v>
      </c>
      <c r="D7" s="2" t="s">
        <v>17</v>
      </c>
      <c r="E7" s="2">
        <v>23</v>
      </c>
      <c r="F7" s="2">
        <v>120</v>
      </c>
    </row>
    <row r="8" spans="2:6" x14ac:dyDescent="0.5">
      <c r="B8" s="2">
        <v>100</v>
      </c>
      <c r="C8" s="9">
        <v>44197</v>
      </c>
      <c r="D8" s="2" t="s">
        <v>18</v>
      </c>
      <c r="E8" s="2">
        <v>20</v>
      </c>
      <c r="F8" s="2">
        <v>210</v>
      </c>
    </row>
    <row r="9" spans="2:6" x14ac:dyDescent="0.5">
      <c r="B9" s="18"/>
      <c r="C9" s="18"/>
      <c r="D9" s="18"/>
      <c r="E9" s="18"/>
      <c r="F9" s="18"/>
    </row>
    <row r="10" spans="2:6" x14ac:dyDescent="0.5">
      <c r="B10" s="18"/>
      <c r="C10" s="18"/>
      <c r="D10" s="18"/>
      <c r="E10" s="18"/>
      <c r="F10" s="18"/>
    </row>
  </sheetData>
  <mergeCells count="2">
    <mergeCell ref="C1:F2"/>
    <mergeCell ref="B1:B2"/>
  </mergeCells>
  <phoneticPr fontId="3" type="noConversion"/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C1B385-D4BA-4B35-BF94-8949FA346842}">
  <dimension ref="B1:F5"/>
  <sheetViews>
    <sheetView showGridLines="0" zoomScale="90" zoomScaleNormal="90" workbookViewId="0">
      <selection activeCell="B3" sqref="B3"/>
    </sheetView>
  </sheetViews>
  <sheetFormatPr defaultRowHeight="31.5" x14ac:dyDescent="0.5"/>
  <cols>
    <col min="1" max="1" width="2.375" customWidth="1"/>
    <col min="3" max="3" width="12.0625" customWidth="1"/>
  </cols>
  <sheetData>
    <row r="1" spans="2:6" x14ac:dyDescent="0.5">
      <c r="B1" s="24"/>
      <c r="C1" s="23" t="s">
        <v>21</v>
      </c>
      <c r="D1" s="23"/>
      <c r="E1" s="23"/>
      <c r="F1" s="23"/>
    </row>
    <row r="2" spans="2:6" x14ac:dyDescent="0.5">
      <c r="B2" s="24"/>
      <c r="C2" s="23"/>
      <c r="D2" s="23"/>
      <c r="E2" s="23"/>
      <c r="F2" s="23"/>
    </row>
    <row r="3" spans="2:6" x14ac:dyDescent="0.5">
      <c r="B3" s="10" t="s">
        <v>0</v>
      </c>
      <c r="C3" s="11" t="s">
        <v>1</v>
      </c>
      <c r="D3" s="11" t="s">
        <v>2</v>
      </c>
      <c r="E3" s="11" t="s">
        <v>3</v>
      </c>
      <c r="F3" s="12" t="s">
        <v>4</v>
      </c>
    </row>
    <row r="4" spans="2:6" x14ac:dyDescent="0.5">
      <c r="B4" s="19"/>
      <c r="C4" s="19"/>
      <c r="D4" s="19"/>
      <c r="E4" s="19"/>
      <c r="F4" s="19"/>
    </row>
    <row r="5" spans="2:6" x14ac:dyDescent="0.5">
      <c r="B5" s="18"/>
      <c r="C5" s="18"/>
      <c r="D5" s="18"/>
      <c r="E5" s="18"/>
      <c r="F5" s="18"/>
    </row>
  </sheetData>
  <mergeCells count="2">
    <mergeCell ref="C1:F2"/>
    <mergeCell ref="B1:B2"/>
  </mergeCells>
  <phoneticPr fontId="3" type="noConversion"/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D31C1D-E662-43D8-8258-4DEC85B88FB6}">
  <dimension ref="B1:G12"/>
  <sheetViews>
    <sheetView showGridLines="0" tabSelected="1" zoomScale="90" zoomScaleNormal="90" workbookViewId="0">
      <selection activeCell="B3" sqref="B3"/>
    </sheetView>
  </sheetViews>
  <sheetFormatPr defaultRowHeight="31.5" x14ac:dyDescent="0.5"/>
  <cols>
    <col min="1" max="1" width="2.375" customWidth="1"/>
    <col min="7" max="7" width="0" hidden="1" customWidth="1"/>
  </cols>
  <sheetData>
    <row r="1" spans="2:7" x14ac:dyDescent="0.5">
      <c r="B1" s="22"/>
      <c r="C1" s="23" t="s">
        <v>22</v>
      </c>
      <c r="D1" s="23"/>
      <c r="E1" s="23"/>
    </row>
    <row r="2" spans="2:7" x14ac:dyDescent="0.5">
      <c r="B2" s="22"/>
      <c r="C2" s="23"/>
      <c r="D2" s="23"/>
      <c r="E2" s="23"/>
    </row>
    <row r="3" spans="2:7" x14ac:dyDescent="0.5">
      <c r="B3" t="s">
        <v>2</v>
      </c>
      <c r="C3" t="s">
        <v>12</v>
      </c>
      <c r="D3" t="s">
        <v>13</v>
      </c>
      <c r="E3" t="s">
        <v>14</v>
      </c>
      <c r="G3" t="s">
        <v>2</v>
      </c>
    </row>
    <row r="4" spans="2:7" x14ac:dyDescent="0.5">
      <c r="B4" s="19"/>
      <c r="C4" s="1">
        <f>SUMIF(Table3[[#All],[Item]],Table5[[#This Row],[Item]],Table3[[#All],[Qty]])</f>
        <v>0</v>
      </c>
      <c r="D4" s="1">
        <f>SUMIF(Table38[[#All],[Item]],Table5[[#This Row],[Item]],Table38[[#All],[Qty]])</f>
        <v>0</v>
      </c>
      <c r="E4" s="1">
        <f>Table5[[#This Row],[P Qty]]-Table5[[#This Row],[S Qty]]</f>
        <v>0</v>
      </c>
      <c r="G4" t="str">
        <f>"&lt;&gt;"</f>
        <v>&lt;&gt;</v>
      </c>
    </row>
    <row r="5" spans="2:7" x14ac:dyDescent="0.5">
      <c r="B5" s="2" t="s">
        <v>19</v>
      </c>
      <c r="C5" s="1">
        <f>SUMIF(Table3[[#All],[Item]],Table5[[#This Row],[Item]],Table3[[#All],[Qty]])</f>
        <v>20</v>
      </c>
      <c r="D5" s="1">
        <f>SUMIF(Table38[[#All],[Item]],Table5[[#This Row],[Item]],Table38[[#All],[Qty]])</f>
        <v>0</v>
      </c>
      <c r="E5" s="1">
        <f>Table5[[#This Row],[P Qty]]-Table5[[#This Row],[S Qty]]</f>
        <v>20</v>
      </c>
    </row>
    <row r="6" spans="2:7" x14ac:dyDescent="0.5">
      <c r="B6" s="2" t="s">
        <v>15</v>
      </c>
      <c r="C6" s="1">
        <f>SUMIF(Table3[[#All],[Item]],Table5[[#This Row],[Item]],Table3[[#All],[Qty]])</f>
        <v>70</v>
      </c>
      <c r="D6" s="1">
        <f>SUMIF(Table38[[#All],[Item]],Table5[[#This Row],[Item]],Table38[[#All],[Qty]])</f>
        <v>0</v>
      </c>
      <c r="E6" s="1">
        <f>Table5[[#This Row],[P Qty]]-Table5[[#This Row],[S Qty]]</f>
        <v>70</v>
      </c>
    </row>
    <row r="7" spans="2:7" x14ac:dyDescent="0.5">
      <c r="B7" s="2" t="s">
        <v>17</v>
      </c>
      <c r="C7" s="1">
        <f>SUMIF(Table3[[#All],[Item]],Table5[[#This Row],[Item]],Table3[[#All],[Qty]])</f>
        <v>23</v>
      </c>
      <c r="D7" s="1">
        <f>SUMIF(Table38[[#All],[Item]],Table5[[#This Row],[Item]],Table38[[#All],[Qty]])</f>
        <v>0</v>
      </c>
      <c r="E7" s="1">
        <f>Table5[[#This Row],[P Qty]]-Table5[[#This Row],[S Qty]]</f>
        <v>23</v>
      </c>
    </row>
    <row r="8" spans="2:7" x14ac:dyDescent="0.5">
      <c r="B8" s="1"/>
      <c r="C8" s="1">
        <f>SUMIF(Table3[[#All],[Item]],Table5[[#This Row],[Item]],Table3[[#All],[Qty]])</f>
        <v>0</v>
      </c>
      <c r="D8" s="1">
        <f>SUMIF(Table38[[#All],[Item]],Table5[[#This Row],[Item]],Table38[[#All],[Qty]])</f>
        <v>0</v>
      </c>
      <c r="E8" s="1">
        <f>Table5[[#This Row],[P Qty]]-Table5[[#This Row],[S Qty]]</f>
        <v>0</v>
      </c>
    </row>
    <row r="9" spans="2:7" x14ac:dyDescent="0.5">
      <c r="B9" s="1"/>
      <c r="C9" s="1">
        <f>SUMIF(Table3[[#All],[Item]],Table5[[#This Row],[Item]],Table3[[#All],[Qty]])</f>
        <v>0</v>
      </c>
      <c r="D9" s="1">
        <f>SUMIF(Table38[[#All],[Item]],Table5[[#This Row],[Item]],Table38[[#All],[Qty]])</f>
        <v>0</v>
      </c>
      <c r="E9" s="1">
        <f>Table5[[#This Row],[P Qty]]-Table5[[#This Row],[S Qty]]</f>
        <v>0</v>
      </c>
    </row>
    <row r="10" spans="2:7" x14ac:dyDescent="0.5">
      <c r="B10" s="1"/>
      <c r="C10" s="1">
        <f>SUMIF(Table3[[#All],[Item]],Table5[[#This Row],[Item]],Table3[[#All],[Qty]])</f>
        <v>0</v>
      </c>
      <c r="D10" s="1">
        <f>SUMIF(Table38[[#All],[Item]],Table5[[#This Row],[Item]],Table38[[#All],[Qty]])</f>
        <v>0</v>
      </c>
      <c r="E10" s="1">
        <f>Table5[[#This Row],[P Qty]]-Table5[[#This Row],[S Qty]]</f>
        <v>0</v>
      </c>
    </row>
    <row r="11" spans="2:7" x14ac:dyDescent="0.5">
      <c r="B11" s="1"/>
      <c r="C11" s="1">
        <f>SUMIF(Table3[[#All],[Item]],Table5[[#This Row],[Item]],Table3[[#All],[Qty]])</f>
        <v>0</v>
      </c>
      <c r="D11" s="1">
        <f>SUMIF(Table38[[#All],[Item]],Table5[[#This Row],[Item]],Table38[[#All],[Qty]])</f>
        <v>0</v>
      </c>
      <c r="E11" s="1">
        <f>Table5[[#This Row],[P Qty]]-Table5[[#This Row],[S Qty]]</f>
        <v>0</v>
      </c>
    </row>
    <row r="12" spans="2:7" x14ac:dyDescent="0.5">
      <c r="B12" s="1"/>
      <c r="C12" s="1">
        <f>SUMIF(Table3[[#All],[Item]],Table5[[#This Row],[Item]],Table3[[#All],[Qty]])</f>
        <v>0</v>
      </c>
      <c r="D12" s="1">
        <f>SUMIF(Table38[[#All],[Item]],Table5[[#This Row],[Item]],Table38[[#All],[Qty]])</f>
        <v>0</v>
      </c>
      <c r="E12" s="1">
        <f>Table5[[#This Row],[P Qty]]-Table5[[#This Row],[S Qty]]</f>
        <v>0</v>
      </c>
    </row>
  </sheetData>
  <mergeCells count="2">
    <mergeCell ref="C1:E2"/>
    <mergeCell ref="B1:B2"/>
  </mergeCells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HOME</vt:lpstr>
      <vt:lpstr>Purchase</vt:lpstr>
      <vt:lpstr>Sale</vt:lpstr>
      <vt:lpstr>Stock</vt:lpstr>
      <vt:lpstr>Stock!Criteria</vt:lpstr>
      <vt:lpstr>Stock!Extract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Mr Nehra</dc:creator>
  <cp:lastModifiedBy>Mr Nehra</cp:lastModifiedBy>
  <dcterms:created xsi:type="dcterms:W3CDTF">2021-02-14T11:32:23Z</dcterms:created>
  <dcterms:modified xsi:type="dcterms:W3CDTF">2021-02-15T05:05:51Z</dcterms:modified>
</cp:coreProperties>
</file>